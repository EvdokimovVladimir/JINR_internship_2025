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ladi\Desktop\JINR_internship_2025\final_report\"/>
    </mc:Choice>
  </mc:AlternateContent>
  <xr:revisionPtr revIDLastSave="0" documentId="8_{56DDDA3D-A0B2-4804-B883-84E0DAB40843}" xr6:coauthVersionLast="47" xr6:coauthVersionMax="47" xr10:uidLastSave="{00000000-0000-0000-0000-000000000000}"/>
  <bookViews>
    <workbookView xWindow="14295" yWindow="0" windowWidth="14610" windowHeight="15585" xr2:uid="{D1952D78-6057-4CCA-BE92-D00B8EE0A3F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8" i="1"/>
  <c r="G9" i="1"/>
  <c r="G10" i="1"/>
  <c r="G6" i="1"/>
  <c r="F7" i="1"/>
  <c r="F8" i="1"/>
  <c r="F9" i="1"/>
  <c r="F10" i="1"/>
  <c r="F6" i="1"/>
  <c r="B1" i="1"/>
</calcChain>
</file>

<file path=xl/sharedStrings.xml><?xml version="1.0" encoding="utf-8"?>
<sst xmlns="http://schemas.openxmlformats.org/spreadsheetml/2006/main" count="15" uniqueCount="15">
  <si>
    <t>№ (метка)</t>
  </si>
  <si>
    <r>
      <t>Площадь, см</t>
    </r>
    <r>
      <rPr>
        <vertAlign val="superscript"/>
        <sz val="12"/>
        <color theme="1"/>
        <rFont val="Times New Roman"/>
        <family val="1"/>
        <charset val="204"/>
      </rPr>
      <t>2</t>
    </r>
  </si>
  <si>
    <t>Толщина, мкм</t>
  </si>
  <si>
    <t>Напряжение полного обеднения, В</t>
  </si>
  <si>
    <t>1 (det1)</t>
  </si>
  <si>
    <t>2 (det2)</t>
  </si>
  <si>
    <t>3 (det3)</t>
  </si>
  <si>
    <t>4 (mydet)</t>
  </si>
  <si>
    <t>5 (det4)</t>
  </si>
  <si>
    <t>e_0</t>
  </si>
  <si>
    <t>Ф/м</t>
  </si>
  <si>
    <t>e</t>
  </si>
  <si>
    <t>Ёмкость при 300 В, пФ</t>
  </si>
  <si>
    <t>Ёмкость теор, пФ</t>
  </si>
  <si>
    <t>Удельное сопротивление, кОм*см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</si>
</sst>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"/>
  </numFmts>
  <fonts count="2" x14ac:knownFonts="1">
    <font>
      <sz val="11"/>
      <color theme="1"/>
      <name val="Aptos Narrow"/>
      <family val="2"/>
      <charset val="204"/>
      <scheme val="minor"/>
    </font>
    <font>
      <vertAlign val="superscript"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71" fontId="0" fillId="0" borderId="0" xfId="0" applyNumberFormat="1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38CBA-5743-4E18-9AA7-F17105CD050E}">
  <dimension ref="A1:G10"/>
  <sheetViews>
    <sheetView tabSelected="1" zoomScale="115" zoomScaleNormal="115" workbookViewId="0">
      <selection activeCell="F5" sqref="F5:G10"/>
    </sheetView>
  </sheetViews>
  <sheetFormatPr defaultRowHeight="15" x14ac:dyDescent="0.25"/>
  <cols>
    <col min="5" max="5" width="11.7109375" customWidth="1"/>
    <col min="6" max="6" width="12.5703125" bestFit="1" customWidth="1"/>
  </cols>
  <sheetData>
    <row r="1" spans="1:7" x14ac:dyDescent="0.25">
      <c r="A1" t="s">
        <v>9</v>
      </c>
      <c r="B1">
        <f>8.85*10^-12</f>
        <v>8.8499999999999988E-12</v>
      </c>
      <c r="C1" t="s">
        <v>10</v>
      </c>
    </row>
    <row r="2" spans="1:7" x14ac:dyDescent="0.25">
      <c r="A2" t="s">
        <v>11</v>
      </c>
      <c r="B2">
        <v>11.67</v>
      </c>
    </row>
    <row r="5" spans="1:7" ht="18.75" x14ac:dyDescent="0.25">
      <c r="A5" t="s">
        <v>0</v>
      </c>
      <c r="B5" t="s">
        <v>1</v>
      </c>
      <c r="C5" t="s">
        <v>2</v>
      </c>
      <c r="D5" t="s">
        <v>3</v>
      </c>
      <c r="E5" t="s">
        <v>12</v>
      </c>
      <c r="F5" t="s">
        <v>13</v>
      </c>
      <c r="G5" t="s">
        <v>14</v>
      </c>
    </row>
    <row r="6" spans="1:7" x14ac:dyDescent="0.25">
      <c r="A6" t="s">
        <v>4</v>
      </c>
      <c r="B6">
        <v>5</v>
      </c>
      <c r="C6">
        <v>300</v>
      </c>
      <c r="D6">
        <v>55.9</v>
      </c>
      <c r="E6">
        <v>179</v>
      </c>
      <c r="F6" s="3">
        <f>$B$1*$B$2*B6*10^-4/(C6*10^-6)*10^12</f>
        <v>172.13249999999999</v>
      </c>
      <c r="G6" s="1">
        <f>C6^2/(18^2*D6)</f>
        <v>4.969191015702644</v>
      </c>
    </row>
    <row r="7" spans="1:7" x14ac:dyDescent="0.25">
      <c r="A7" t="s">
        <v>5</v>
      </c>
      <c r="B7">
        <v>4</v>
      </c>
      <c r="C7">
        <v>300</v>
      </c>
      <c r="D7">
        <v>93.9</v>
      </c>
      <c r="E7">
        <v>121</v>
      </c>
      <c r="F7" s="3">
        <f t="shared" ref="F7:F10" si="0">$B$1*$B$2*B7*10^-4/(C7*10^-6)*10^12</f>
        <v>137.70599999999999</v>
      </c>
      <c r="G7" s="1">
        <f t="shared" ref="G7:G10" si="1">C7^2/(18^2*D7)</f>
        <v>2.9582297952904981</v>
      </c>
    </row>
    <row r="8" spans="1:7" x14ac:dyDescent="0.25">
      <c r="A8" t="s">
        <v>6</v>
      </c>
      <c r="B8">
        <v>1</v>
      </c>
      <c r="C8">
        <v>300</v>
      </c>
      <c r="D8">
        <v>54.5</v>
      </c>
      <c r="E8">
        <v>23.7</v>
      </c>
      <c r="F8" s="2">
        <f t="shared" si="0"/>
        <v>34.426499999999997</v>
      </c>
      <c r="G8" s="1">
        <f t="shared" si="1"/>
        <v>5.0968399592252807</v>
      </c>
    </row>
    <row r="9" spans="1:7" x14ac:dyDescent="0.25">
      <c r="A9" t="s">
        <v>7</v>
      </c>
      <c r="B9">
        <v>1</v>
      </c>
      <c r="C9">
        <v>300</v>
      </c>
      <c r="D9">
        <v>73.7</v>
      </c>
      <c r="E9">
        <v>24.3</v>
      </c>
      <c r="F9" s="2">
        <f t="shared" si="0"/>
        <v>34.426499999999997</v>
      </c>
      <c r="G9" s="1">
        <f t="shared" si="1"/>
        <v>3.7690336197798886</v>
      </c>
    </row>
    <row r="10" spans="1:7" x14ac:dyDescent="0.25">
      <c r="A10" t="s">
        <v>8</v>
      </c>
      <c r="B10">
        <v>0.25</v>
      </c>
      <c r="C10">
        <v>300</v>
      </c>
      <c r="D10">
        <v>26.9</v>
      </c>
      <c r="E10">
        <v>10.3</v>
      </c>
      <c r="F10" s="2">
        <f t="shared" si="0"/>
        <v>8.6066249999999993</v>
      </c>
      <c r="G10" s="1">
        <f t="shared" si="1"/>
        <v>10.326311441553077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Евдокимов Владимир Владимирович</dc:creator>
  <cp:lastModifiedBy>Евдокимов Владимир Владимирович</cp:lastModifiedBy>
  <dcterms:created xsi:type="dcterms:W3CDTF">2025-08-26T14:10:22Z</dcterms:created>
  <dcterms:modified xsi:type="dcterms:W3CDTF">2025-08-26T14:36:20Z</dcterms:modified>
</cp:coreProperties>
</file>